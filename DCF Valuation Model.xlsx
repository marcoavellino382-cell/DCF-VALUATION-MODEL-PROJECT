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2D88618-88F7-4F91-876B-70B3C1A308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CF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8" i="1" l="1"/>
  <c r="H36" i="1"/>
  <c r="H34" i="1"/>
  <c r="D25" i="1"/>
  <c r="B23" i="1"/>
  <c r="B26" i="1" s="1"/>
  <c r="B22" i="1"/>
  <c r="C21" i="1"/>
  <c r="C22" i="1" s="1"/>
  <c r="C23" i="1" s="1"/>
  <c r="C26" i="1" s="1"/>
  <c r="B21" i="1"/>
  <c r="D20" i="1"/>
  <c r="D18" i="1"/>
  <c r="D21" i="1" s="1"/>
  <c r="E16" i="1"/>
  <c r="E18" i="1" s="1"/>
  <c r="D16" i="1"/>
  <c r="D24" i="1" s="1"/>
  <c r="D22" i="1" l="1"/>
  <c r="D23" i="1"/>
  <c r="D26" i="1" s="1"/>
  <c r="B30" i="1" s="1"/>
  <c r="E25" i="1"/>
  <c r="E20" i="1"/>
  <c r="E21" i="1" s="1"/>
  <c r="E24" i="1"/>
  <c r="F16" i="1"/>
  <c r="E22" i="1" l="1"/>
  <c r="E23" i="1" s="1"/>
  <c r="E26" i="1" s="1"/>
  <c r="C30" i="1" s="1"/>
  <c r="F20" i="1"/>
  <c r="F24" i="1"/>
  <c r="F25" i="1"/>
  <c r="F18" i="1"/>
  <c r="G16" i="1"/>
  <c r="G25" i="1" l="1"/>
  <c r="G18" i="1"/>
  <c r="G20" i="1"/>
  <c r="G24" i="1"/>
  <c r="F21" i="1"/>
  <c r="G21" i="1" l="1"/>
  <c r="H24" i="1"/>
  <c r="H25" i="1"/>
  <c r="H20" i="1"/>
  <c r="H18" i="1"/>
  <c r="F22" i="1"/>
  <c r="F23" i="1" s="1"/>
  <c r="F26" i="1" s="1"/>
  <c r="D30" i="1" s="1"/>
  <c r="H21" i="1" l="1"/>
  <c r="G22" i="1"/>
  <c r="G23" i="1"/>
  <c r="G26" i="1" s="1"/>
  <c r="E30" i="1" s="1"/>
  <c r="H22" i="1" l="1"/>
  <c r="H23" i="1"/>
  <c r="H26" i="1" s="1"/>
  <c r="F30" i="1" s="1"/>
  <c r="H39" i="1" l="1"/>
</calcChain>
</file>

<file path=xl/sharedStrings.xml><?xml version="1.0" encoding="utf-8"?>
<sst xmlns="http://schemas.openxmlformats.org/spreadsheetml/2006/main" count="74" uniqueCount="63">
  <si>
    <t>5-Year FCFF Discounted Cash Flow Model</t>
  </si>
  <si>
    <t>Professional Portfolio Project — Corporate Finance &amp; Valuation</t>
  </si>
  <si>
    <t>1. GLOBAL MODEL ASSUMPTIONS &amp; WACC (CAPM)</t>
  </si>
  <si>
    <t>Company Name</t>
  </si>
  <si>
    <t>Tech Growth Corp</t>
  </si>
  <si>
    <t>Valuation Date</t>
  </si>
  <si>
    <t>2026-08-27</t>
  </si>
  <si>
    <t>Current Share Price</t>
  </si>
  <si>
    <t>€ / share</t>
  </si>
  <si>
    <t>Shares Outstanding</t>
  </si>
  <si>
    <t>Net Debt</t>
  </si>
  <si>
    <t>€ mm</t>
  </si>
  <si>
    <t>Tax Rate</t>
  </si>
  <si>
    <t>Risk-Free Rate (Rf)</t>
  </si>
  <si>
    <t>%</t>
  </si>
  <si>
    <t>Beta (β)</t>
  </si>
  <si>
    <t>Equity Risk Premium (ERP)</t>
  </si>
  <si>
    <t>Cost of Equity (Ke)</t>
  </si>
  <si>
    <t>Cost of Debt (Kd)</t>
  </si>
  <si>
    <t>After-tax Cost of Debt</t>
  </si>
  <si>
    <t>Target Equity Weight (E/V)</t>
  </si>
  <si>
    <t>Target Debt Weight (D/V)</t>
  </si>
  <si>
    <t>Calculated WACC</t>
  </si>
  <si>
    <t>Terminal Growth Rate (g)</t>
  </si>
  <si>
    <t>2. 5-YEAR OPERATING FORECAST (€ mm)</t>
  </si>
  <si>
    <t>Metric</t>
  </si>
  <si>
    <t>FY2024A</t>
  </si>
  <si>
    <t>FY2025A</t>
  </si>
  <si>
    <t>FY2026E</t>
  </si>
  <si>
    <t>FY2027E</t>
  </si>
  <si>
    <t>FY2028E</t>
  </si>
  <si>
    <t>FY2029E</t>
  </si>
  <si>
    <t>FY2030E</t>
  </si>
  <si>
    <t>Revenue</t>
  </si>
  <si>
    <t>Revenue Growth</t>
  </si>
  <si>
    <t>EBITDA</t>
  </si>
  <si>
    <t>EBITDA Margin</t>
  </si>
  <si>
    <t>D&amp;A</t>
  </si>
  <si>
    <t>EBIT</t>
  </si>
  <si>
    <t>Taxes on EBIT</t>
  </si>
  <si>
    <t>NOPAT</t>
  </si>
  <si>
    <t>Capex</t>
  </si>
  <si>
    <t>Change in NWC</t>
  </si>
  <si>
    <t>FCFF</t>
  </si>
  <si>
    <t>3. DISCOUNTED CASH FLOW VALUATION</t>
  </si>
  <si>
    <t>Valuation Item</t>
  </si>
  <si>
    <t>Terminal Value Calculation</t>
  </si>
  <si>
    <t>Value</t>
  </si>
  <si>
    <t>Cumulative PV of explicit FCFF</t>
  </si>
  <si>
    <t>Discount Period</t>
  </si>
  <si>
    <t>Terminal Value (TV)</t>
  </si>
  <si>
    <t>Discount Factor</t>
  </si>
  <si>
    <t>PV of Terminal Value</t>
  </si>
  <si>
    <t>PV of FCFF</t>
  </si>
  <si>
    <t>Enterprise Value (EV)</t>
  </si>
  <si>
    <t>(-) Net Debt</t>
  </si>
  <si>
    <t>Implied Equity Value</t>
  </si>
  <si>
    <t>(/) Shares Outstanding</t>
  </si>
  <si>
    <t>Implied Per Share Price</t>
  </si>
  <si>
    <t>Implied Upside / (Downside)</t>
  </si>
  <si>
    <t>4. WACC VS. TERMINAL GROWTH RATE SENSITIVITY MATRIX (Implied Share Price)</t>
  </si>
  <si>
    <t>WACC \ g</t>
  </si>
  <si>
    <t>Note: Blue highlighted cell indicates the base case scenario matching current market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</si>
</sst>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\€#,##0.00"/>
    <numFmt numFmtId="166" formatCode="#,##0.0"/>
    <numFmt numFmtId="167" formatCode="\€#,##0.0"/>
    <numFmt numFmtId="168" formatCode="0.0%"/>
    <numFmt numFmtId="169" formatCode="0.0000"/>
    <numFmt numFmtId="170" formatCode="\+0.0%;\-0.0%;0.0%"/>
  </numFmts>
  <fonts count="8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1"/>
      <color rgb="FF595959"/>
      <name val="Calibri"/>
    </font>
    <font>
      <b/>
      <sz val="12"/>
      <color rgb="FFFFFFFF"/>
      <name val="Calibri"/>
    </font>
    <font>
      <sz val="11"/>
      <name val="Calibri"/>
    </font>
    <font>
      <b/>
      <sz val="11"/>
      <name val="Calibri"/>
    </font>
    <font>
      <b/>
      <sz val="11"/>
      <color rgb="FF1B365D"/>
      <name val="Calibri"/>
    </font>
    <font>
      <b/>
      <sz val="13"/>
      <color rgb="FF1B365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2CC"/>
        <bgColor rgb="FFFFF2CC"/>
      </patternFill>
    </fill>
    <fill>
      <patternFill patternType="solid">
        <fgColor rgb="FFF0F4F8"/>
        <bgColor rgb="FFF0F4F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65" fontId="0" fillId="3" borderId="0" xfId="0" applyNumberFormat="1" applyFill="1"/>
    <xf numFmtId="166" fontId="0" fillId="3" borderId="0" xfId="0" applyNumberFormat="1" applyFill="1"/>
    <xf numFmtId="167" fontId="0" fillId="3" borderId="0" xfId="0" applyNumberFormat="1" applyFill="1"/>
    <xf numFmtId="168" fontId="0" fillId="0" borderId="0" xfId="0" applyNumberFormat="1"/>
    <xf numFmtId="168" fontId="0" fillId="3" borderId="0" xfId="0" applyNumberFormat="1" applyFill="1"/>
    <xf numFmtId="2" fontId="0" fillId="0" borderId="0" xfId="0" applyNumberFormat="1"/>
    <xf numFmtId="10" fontId="5" fillId="0" borderId="0" xfId="0" applyNumberFormat="1" applyFont="1"/>
    <xf numFmtId="0" fontId="6" fillId="4" borderId="0" xfId="0" applyFont="1" applyFill="1" applyAlignment="1">
      <alignment horizontal="center" vertical="center"/>
    </xf>
    <xf numFmtId="167" fontId="5" fillId="0" borderId="0" xfId="0" applyNumberFormat="1" applyFont="1"/>
    <xf numFmtId="168" fontId="4" fillId="0" borderId="0" xfId="0" applyNumberFormat="1" applyFont="1"/>
    <xf numFmtId="168" fontId="4" fillId="3" borderId="0" xfId="0" applyNumberFormat="1" applyFont="1" applyFill="1"/>
    <xf numFmtId="167" fontId="4" fillId="0" borderId="0" xfId="0" applyNumberFormat="1" applyFont="1"/>
    <xf numFmtId="167" fontId="5" fillId="0" borderId="1" xfId="0" applyNumberFormat="1" applyFont="1" applyBorder="1"/>
    <xf numFmtId="0" fontId="6" fillId="4" borderId="0" xfId="0" applyFont="1" applyFill="1"/>
    <xf numFmtId="0" fontId="6" fillId="4" borderId="0" xfId="0" applyFont="1" applyFill="1" applyAlignment="1">
      <alignment horizontal="right" vertical="center"/>
    </xf>
    <xf numFmtId="167" fontId="0" fillId="0" borderId="0" xfId="0" applyNumberFormat="1"/>
    <xf numFmtId="1" fontId="4" fillId="0" borderId="0" xfId="0" applyNumberFormat="1" applyFont="1" applyAlignment="1">
      <alignment horizontal="center" vertical="center"/>
    </xf>
    <xf numFmtId="169" fontId="4" fillId="0" borderId="0" xfId="0" applyNumberFormat="1" applyFont="1"/>
    <xf numFmtId="166" fontId="4" fillId="0" borderId="0" xfId="0" applyNumberFormat="1" applyFont="1"/>
    <xf numFmtId="165" fontId="7" fillId="5" borderId="0" xfId="0" applyNumberFormat="1" applyFont="1" applyFill="1"/>
    <xf numFmtId="170" fontId="7" fillId="5" borderId="0" xfId="0" applyNumberFormat="1" applyFont="1" applyFill="1"/>
    <xf numFmtId="0" fontId="6" fillId="0" borderId="0" xfId="0" applyFont="1" applyAlignment="1">
      <alignment horizontal="left" vertical="center"/>
    </xf>
    <xf numFmtId="168" fontId="6" fillId="0" borderId="0" xfId="0" applyNumberFormat="1" applyFont="1" applyAlignment="1">
      <alignment horizontal="right" vertical="center"/>
    </xf>
    <xf numFmtId="10" fontId="4" fillId="0" borderId="0" xfId="0" applyNumberFormat="1" applyFont="1"/>
    <xf numFmtId="165" fontId="4" fillId="0" borderId="0" xfId="0" applyNumberFormat="1" applyFont="1"/>
    <xf numFmtId="165" fontId="5" fillId="5" borderId="0" xfId="0" applyNumberFormat="1" applyFont="1" applyFill="1"/>
    <xf numFmtId="0" fontId="3" fillId="2" borderId="0" xfId="0" applyFont="1" applyFill="1"/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H38" sqref="H38"/>
    </sheetView>
  </sheetViews>
  <sheetFormatPr defaultRowHeight="15"/>
  <cols>
    <col min="1" max="1" width="28" customWidth="1"/>
    <col min="2" max="2" width="22" customWidth="1"/>
    <col min="3" max="3" width="21" customWidth="1"/>
    <col min="4" max="4" width="27" customWidth="1"/>
    <col min="5" max="6" width="21" customWidth="1"/>
    <col min="7" max="7" width="28" customWidth="1"/>
    <col min="8" max="8" width="27" customWidth="1"/>
  </cols>
  <sheetData>
    <row r="1" spans="1:8" ht="21">
      <c r="A1" s="1" t="s">
        <v>0</v>
      </c>
    </row>
    <row r="2" spans="1:8">
      <c r="A2" s="2" t="s">
        <v>1</v>
      </c>
    </row>
    <row r="4" spans="1:8" ht="15.75">
      <c r="A4" s="32" t="s">
        <v>2</v>
      </c>
      <c r="B4" s="33"/>
      <c r="C4" s="33"/>
      <c r="D4" s="33"/>
      <c r="E4" s="33"/>
      <c r="F4" s="33"/>
      <c r="G4" s="33"/>
      <c r="H4" s="33"/>
    </row>
    <row r="5" spans="1:8">
      <c r="A5" s="3" t="s">
        <v>3</v>
      </c>
      <c r="B5" s="4" t="s">
        <v>4</v>
      </c>
      <c r="C5" s="2"/>
      <c r="D5" s="3" t="s">
        <v>5</v>
      </c>
      <c r="E5" s="5" t="s">
        <v>6</v>
      </c>
    </row>
    <row r="6" spans="1:8">
      <c r="A6" s="3" t="s">
        <v>7</v>
      </c>
      <c r="B6" s="6">
        <v>100</v>
      </c>
      <c r="C6" s="2" t="s">
        <v>8</v>
      </c>
      <c r="D6" s="3" t="s">
        <v>9</v>
      </c>
      <c r="E6" s="7">
        <v>1000</v>
      </c>
    </row>
    <row r="7" spans="1:8">
      <c r="A7" s="3" t="s">
        <v>10</v>
      </c>
      <c r="B7" s="8">
        <v>500</v>
      </c>
      <c r="C7" s="2" t="s">
        <v>11</v>
      </c>
      <c r="D7" s="3" t="s">
        <v>12</v>
      </c>
      <c r="E7" s="9">
        <v>0.25</v>
      </c>
    </row>
    <row r="8" spans="1:8">
      <c r="A8" s="3" t="s">
        <v>13</v>
      </c>
      <c r="B8" s="10">
        <v>3.7999999999999999E-2</v>
      </c>
      <c r="C8" s="2" t="s">
        <v>14</v>
      </c>
      <c r="D8" s="3" t="s">
        <v>15</v>
      </c>
      <c r="E8" s="11">
        <v>1.2</v>
      </c>
    </row>
    <row r="9" spans="1:8">
      <c r="A9" s="3" t="s">
        <v>16</v>
      </c>
      <c r="B9" s="10">
        <v>0.05</v>
      </c>
      <c r="C9" s="2" t="s">
        <v>14</v>
      </c>
      <c r="D9" s="3" t="s">
        <v>17</v>
      </c>
      <c r="E9" s="12">
        <v>9.8000000000000004E-2</v>
      </c>
    </row>
    <row r="10" spans="1:8">
      <c r="A10" s="3" t="s">
        <v>18</v>
      </c>
      <c r="B10" s="10">
        <v>4.4999999999999998E-2</v>
      </c>
      <c r="C10" s="2" t="s">
        <v>14</v>
      </c>
      <c r="D10" s="3" t="s">
        <v>19</v>
      </c>
      <c r="E10" s="12">
        <v>3.3799999999999997E-2</v>
      </c>
    </row>
    <row r="11" spans="1:8">
      <c r="A11" s="3" t="s">
        <v>20</v>
      </c>
      <c r="B11" s="10">
        <v>0.85</v>
      </c>
      <c r="C11" s="2" t="s">
        <v>14</v>
      </c>
      <c r="D11" s="3" t="s">
        <v>21</v>
      </c>
      <c r="E11" s="10">
        <v>0.15</v>
      </c>
    </row>
    <row r="12" spans="1:8">
      <c r="A12" s="3" t="s">
        <v>22</v>
      </c>
      <c r="B12" s="12">
        <v>8.8400000000000006E-2</v>
      </c>
      <c r="C12" s="2" t="s">
        <v>14</v>
      </c>
      <c r="D12" s="3" t="s">
        <v>23</v>
      </c>
      <c r="E12" s="10">
        <v>2.5000000000000001E-2</v>
      </c>
    </row>
    <row r="14" spans="1:8" ht="15.75">
      <c r="A14" s="32" t="s">
        <v>24</v>
      </c>
      <c r="B14" s="33"/>
      <c r="C14" s="33"/>
      <c r="D14" s="33"/>
      <c r="E14" s="33"/>
      <c r="F14" s="33"/>
      <c r="G14" s="33"/>
      <c r="H14" s="33"/>
    </row>
    <row r="15" spans="1:8">
      <c r="A15" s="13" t="s">
        <v>25</v>
      </c>
      <c r="B15" s="13" t="s">
        <v>26</v>
      </c>
      <c r="C15" s="13" t="s">
        <v>27</v>
      </c>
      <c r="D15" s="13" t="s">
        <v>28</v>
      </c>
      <c r="E15" s="13" t="s">
        <v>29</v>
      </c>
      <c r="F15" s="13" t="s">
        <v>30</v>
      </c>
      <c r="G15" s="13" t="s">
        <v>31</v>
      </c>
      <c r="H15" s="13" t="s">
        <v>32</v>
      </c>
    </row>
    <row r="16" spans="1:8">
      <c r="A16" s="4" t="s">
        <v>33</v>
      </c>
      <c r="B16" s="14">
        <v>5000</v>
      </c>
      <c r="C16" s="14">
        <v>5500</v>
      </c>
      <c r="D16" s="14">
        <f>C16*(1+D17)</f>
        <v>5940</v>
      </c>
      <c r="E16" s="14">
        <f>D16*(1+E17)</f>
        <v>6355.8</v>
      </c>
      <c r="F16" s="14">
        <f>E16*(1+F17)</f>
        <v>6737.1480000000001</v>
      </c>
      <c r="G16" s="14">
        <f>F16*(1+G17)</f>
        <v>7074.0054</v>
      </c>
      <c r="H16" s="14">
        <v>7357</v>
      </c>
    </row>
    <row r="17" spans="1:8">
      <c r="A17" s="3" t="s">
        <v>34</v>
      </c>
      <c r="B17" s="15"/>
      <c r="C17" s="15"/>
      <c r="D17" s="16">
        <v>0.08</v>
      </c>
      <c r="E17" s="16">
        <v>7.0000000000000007E-2</v>
      </c>
      <c r="F17" s="16">
        <v>0.06</v>
      </c>
      <c r="G17" s="16">
        <v>0.05</v>
      </c>
      <c r="H17" s="16">
        <v>0.04</v>
      </c>
    </row>
    <row r="18" spans="1:8">
      <c r="A18" s="4" t="s">
        <v>35</v>
      </c>
      <c r="B18" s="14">
        <v>1000</v>
      </c>
      <c r="C18" s="14">
        <v>1150</v>
      </c>
      <c r="D18" s="14">
        <f>D16*D19</f>
        <v>1366.2</v>
      </c>
      <c r="E18" s="14">
        <f>E16*E19</f>
        <v>1461.8340000000001</v>
      </c>
      <c r="F18" s="14">
        <f>F16*F19</f>
        <v>1549.54404</v>
      </c>
      <c r="G18" s="14">
        <f>G16*G19</f>
        <v>1627.021242</v>
      </c>
      <c r="H18" s="14">
        <f>H16*H19</f>
        <v>1692.1100000000001</v>
      </c>
    </row>
    <row r="19" spans="1:8">
      <c r="A19" s="3" t="s">
        <v>36</v>
      </c>
      <c r="B19" s="15">
        <v>0.2</v>
      </c>
      <c r="C19" s="15">
        <v>0.20899999999999999</v>
      </c>
      <c r="D19" s="15">
        <v>0.23</v>
      </c>
      <c r="E19" s="15">
        <v>0.23</v>
      </c>
      <c r="F19" s="15">
        <v>0.23</v>
      </c>
      <c r="G19" s="15">
        <v>0.23</v>
      </c>
      <c r="H19" s="15">
        <v>0.23</v>
      </c>
    </row>
    <row r="20" spans="1:8">
      <c r="A20" s="3" t="s">
        <v>37</v>
      </c>
      <c r="B20" s="17">
        <v>250</v>
      </c>
      <c r="C20" s="17">
        <v>270</v>
      </c>
      <c r="D20" s="17">
        <f>D16*0.045</f>
        <v>267.3</v>
      </c>
      <c r="E20" s="17">
        <f>E16*0.045</f>
        <v>286.01100000000002</v>
      </c>
      <c r="F20" s="17">
        <f>F16*0.045</f>
        <v>303.17165999999997</v>
      </c>
      <c r="G20" s="17">
        <f>G16*0.045</f>
        <v>318.330243</v>
      </c>
      <c r="H20" s="17">
        <f>H16*0.045</f>
        <v>331.065</v>
      </c>
    </row>
    <row r="21" spans="1:8">
      <c r="A21" s="4" t="s">
        <v>38</v>
      </c>
      <c r="B21" s="14">
        <f t="shared" ref="B21:H21" si="0">B18-B20</f>
        <v>750</v>
      </c>
      <c r="C21" s="14">
        <f t="shared" si="0"/>
        <v>880</v>
      </c>
      <c r="D21" s="14">
        <f t="shared" si="0"/>
        <v>1098.9000000000001</v>
      </c>
      <c r="E21" s="14">
        <f t="shared" si="0"/>
        <v>1175.8230000000001</v>
      </c>
      <c r="F21" s="14">
        <f t="shared" si="0"/>
        <v>1246.37238</v>
      </c>
      <c r="G21" s="14">
        <f t="shared" si="0"/>
        <v>1308.6909989999999</v>
      </c>
      <c r="H21" s="14">
        <f t="shared" si="0"/>
        <v>1361.0450000000001</v>
      </c>
    </row>
    <row r="22" spans="1:8">
      <c r="A22" s="3" t="s">
        <v>39</v>
      </c>
      <c r="B22" s="17">
        <f t="shared" ref="B22:H22" si="1">B21*$E$7</f>
        <v>187.5</v>
      </c>
      <c r="C22" s="17">
        <f t="shared" si="1"/>
        <v>220</v>
      </c>
      <c r="D22" s="17">
        <f t="shared" si="1"/>
        <v>274.72500000000002</v>
      </c>
      <c r="E22" s="17">
        <f t="shared" si="1"/>
        <v>293.95575000000002</v>
      </c>
      <c r="F22" s="17">
        <f t="shared" si="1"/>
        <v>311.59309500000001</v>
      </c>
      <c r="G22" s="17">
        <f t="shared" si="1"/>
        <v>327.17274974999998</v>
      </c>
      <c r="H22" s="17">
        <f t="shared" si="1"/>
        <v>340.26125000000002</v>
      </c>
    </row>
    <row r="23" spans="1:8">
      <c r="A23" s="3" t="s">
        <v>40</v>
      </c>
      <c r="B23" s="17">
        <f t="shared" ref="B23:H23" si="2">B21-B22</f>
        <v>562.5</v>
      </c>
      <c r="C23" s="17">
        <f t="shared" si="2"/>
        <v>660</v>
      </c>
      <c r="D23" s="17">
        <f t="shared" si="2"/>
        <v>824.17500000000007</v>
      </c>
      <c r="E23" s="17">
        <f t="shared" si="2"/>
        <v>881.86725000000001</v>
      </c>
      <c r="F23" s="17">
        <f t="shared" si="2"/>
        <v>934.77928500000007</v>
      </c>
      <c r="G23" s="17">
        <f t="shared" si="2"/>
        <v>981.51824924999994</v>
      </c>
      <c r="H23" s="17">
        <f t="shared" si="2"/>
        <v>1020.7837500000001</v>
      </c>
    </row>
    <row r="24" spans="1:8">
      <c r="A24" s="3" t="s">
        <v>41</v>
      </c>
      <c r="B24" s="17">
        <v>300</v>
      </c>
      <c r="C24" s="17">
        <v>320</v>
      </c>
      <c r="D24" s="17">
        <f>D16*0.054</f>
        <v>320.76</v>
      </c>
      <c r="E24" s="17">
        <f>E16*0.054</f>
        <v>343.21320000000003</v>
      </c>
      <c r="F24" s="17">
        <f>F16*0.054</f>
        <v>363.805992</v>
      </c>
      <c r="G24" s="17">
        <f>G16*0.054</f>
        <v>381.99629160000001</v>
      </c>
      <c r="H24" s="17">
        <f>H16*0.054</f>
        <v>397.27800000000002</v>
      </c>
    </row>
    <row r="25" spans="1:8">
      <c r="A25" s="3" t="s">
        <v>42</v>
      </c>
      <c r="B25" s="17">
        <v>80</v>
      </c>
      <c r="C25" s="17">
        <v>90</v>
      </c>
      <c r="D25" s="17">
        <f>D16*0.015</f>
        <v>89.1</v>
      </c>
      <c r="E25" s="17">
        <f>E16*0.015</f>
        <v>95.337000000000003</v>
      </c>
      <c r="F25" s="17">
        <f>F16*0.015</f>
        <v>101.05722</v>
      </c>
      <c r="G25" s="17">
        <f>G16*0.015</f>
        <v>106.11008099999999</v>
      </c>
      <c r="H25" s="17">
        <f>H16*0.015</f>
        <v>110.35499999999999</v>
      </c>
    </row>
    <row r="26" spans="1:8">
      <c r="A26" s="4" t="s">
        <v>43</v>
      </c>
      <c r="B26" s="18">
        <f t="shared" ref="B26:H26" si="3">B23+B20-B24-B25</f>
        <v>432.5</v>
      </c>
      <c r="C26" s="18">
        <f t="shared" si="3"/>
        <v>520</v>
      </c>
      <c r="D26" s="18">
        <f t="shared" si="3"/>
        <v>681.61500000000012</v>
      </c>
      <c r="E26" s="18">
        <f t="shared" si="3"/>
        <v>729.32804999999996</v>
      </c>
      <c r="F26" s="18">
        <f t="shared" si="3"/>
        <v>773.08773299999996</v>
      </c>
      <c r="G26" s="18">
        <f t="shared" si="3"/>
        <v>811.74211964999995</v>
      </c>
      <c r="H26" s="18">
        <f t="shared" si="3"/>
        <v>844.21575000000007</v>
      </c>
    </row>
    <row r="28" spans="1:8" ht="15.75">
      <c r="A28" s="32" t="s">
        <v>44</v>
      </c>
      <c r="B28" s="33"/>
      <c r="C28" s="33"/>
      <c r="D28" s="33"/>
      <c r="E28" s="33"/>
      <c r="F28" s="33"/>
      <c r="G28" s="33"/>
      <c r="H28" s="33"/>
    </row>
    <row r="29" spans="1:8">
      <c r="A29" s="13" t="s">
        <v>45</v>
      </c>
      <c r="B29" s="13" t="s">
        <v>28</v>
      </c>
      <c r="C29" s="13" t="s">
        <v>29</v>
      </c>
      <c r="D29" s="13" t="s">
        <v>30</v>
      </c>
      <c r="E29" s="13" t="s">
        <v>31</v>
      </c>
      <c r="F29" s="13" t="s">
        <v>32</v>
      </c>
      <c r="G29" s="19" t="s">
        <v>46</v>
      </c>
      <c r="H29" s="20" t="s">
        <v>47</v>
      </c>
    </row>
    <row r="30" spans="1:8">
      <c r="A30" s="4" t="s">
        <v>43</v>
      </c>
      <c r="B30" s="21">
        <f>D26</f>
        <v>681.61500000000012</v>
      </c>
      <c r="C30" s="21">
        <f>E26</f>
        <v>729.32804999999996</v>
      </c>
      <c r="D30" s="21">
        <f>F26</f>
        <v>773.08773299999996</v>
      </c>
      <c r="E30" s="21">
        <f>G26</f>
        <v>811.74211964999995</v>
      </c>
      <c r="F30" s="21">
        <f>H26</f>
        <v>844.21575000000007</v>
      </c>
      <c r="G30" s="3" t="s">
        <v>48</v>
      </c>
      <c r="H30" s="17">
        <v>2973.6</v>
      </c>
    </row>
    <row r="31" spans="1:8">
      <c r="A31" s="3" t="s">
        <v>49</v>
      </c>
      <c r="B31" s="22">
        <v>1</v>
      </c>
      <c r="C31" s="22">
        <v>2</v>
      </c>
      <c r="D31" s="22">
        <v>3</v>
      </c>
      <c r="E31" s="22">
        <v>4</v>
      </c>
      <c r="F31" s="22">
        <v>5</v>
      </c>
      <c r="G31" s="3" t="s">
        <v>50</v>
      </c>
      <c r="H31" s="14">
        <v>13661.3</v>
      </c>
    </row>
    <row r="32" spans="1:8">
      <c r="A32" s="3" t="s">
        <v>51</v>
      </c>
      <c r="B32" s="23">
        <v>0.91879999999999995</v>
      </c>
      <c r="C32" s="23">
        <v>0.84409999999999996</v>
      </c>
      <c r="D32" s="23">
        <v>0.77559999999999996</v>
      </c>
      <c r="E32" s="23">
        <v>0.71260000000000001</v>
      </c>
      <c r="F32" s="23">
        <v>0.65469999999999995</v>
      </c>
      <c r="G32" s="3" t="s">
        <v>52</v>
      </c>
      <c r="H32" s="14">
        <v>8943.9</v>
      </c>
    </row>
    <row r="33" spans="1:8">
      <c r="A33" s="4" t="s">
        <v>53</v>
      </c>
      <c r="B33" s="18">
        <v>626.29999999999995</v>
      </c>
      <c r="C33" s="18">
        <v>616.1</v>
      </c>
      <c r="D33" s="18">
        <v>599.79999999999995</v>
      </c>
      <c r="E33" s="18">
        <v>578.29999999999995</v>
      </c>
      <c r="F33" s="18">
        <v>553</v>
      </c>
      <c r="G33" s="4" t="s">
        <v>54</v>
      </c>
      <c r="H33" s="18">
        <v>11917.5</v>
      </c>
    </row>
    <row r="34" spans="1:8">
      <c r="G34" s="3" t="s">
        <v>55</v>
      </c>
      <c r="H34" s="17">
        <f>B7</f>
        <v>500</v>
      </c>
    </row>
    <row r="35" spans="1:8">
      <c r="G35" s="4" t="s">
        <v>56</v>
      </c>
      <c r="H35" s="18">
        <v>11417.5</v>
      </c>
    </row>
    <row r="36" spans="1:8">
      <c r="G36" s="3" t="s">
        <v>57</v>
      </c>
      <c r="H36" s="24">
        <f>E6</f>
        <v>1000</v>
      </c>
    </row>
    <row r="37" spans="1:8" ht="17.25">
      <c r="G37" s="4" t="s">
        <v>58</v>
      </c>
      <c r="H37" s="25">
        <v>114.18</v>
      </c>
    </row>
    <row r="38" spans="1:8">
      <c r="G38" s="3" t="s">
        <v>7</v>
      </c>
      <c r="H38" s="17">
        <f>B6</f>
        <v>100</v>
      </c>
    </row>
    <row r="39" spans="1:8" ht="17.25">
      <c r="G39" s="4" t="s">
        <v>59</v>
      </c>
      <c r="H39" s="26">
        <f>(H37/H38)-1</f>
        <v>0.14180000000000015</v>
      </c>
    </row>
    <row r="41" spans="1:8" ht="15.75">
      <c r="A41" s="32" t="s">
        <v>60</v>
      </c>
      <c r="B41" s="33"/>
      <c r="C41" s="33"/>
      <c r="D41" s="33"/>
      <c r="E41" s="33"/>
      <c r="F41" s="33"/>
      <c r="G41" s="33"/>
      <c r="H41" s="33"/>
    </row>
    <row r="42" spans="1:8">
      <c r="A42" s="27" t="s">
        <v>61</v>
      </c>
      <c r="B42" s="28">
        <v>1.4999999999999999E-2</v>
      </c>
      <c r="C42" s="28">
        <v>0.02</v>
      </c>
      <c r="D42" s="28">
        <v>2.5000000000000001E-2</v>
      </c>
      <c r="E42" s="28">
        <v>0.03</v>
      </c>
      <c r="F42" s="28">
        <v>3.5000000000000003E-2</v>
      </c>
    </row>
    <row r="43" spans="1:8">
      <c r="A43" s="29">
        <v>7.8399999999999997E-2</v>
      </c>
      <c r="B43" s="30">
        <v>115.1</v>
      </c>
      <c r="C43" s="30">
        <v>124.6</v>
      </c>
      <c r="D43" s="30">
        <v>136.19999999999999</v>
      </c>
      <c r="E43" s="30">
        <v>151.1</v>
      </c>
      <c r="F43" s="30">
        <v>171.1</v>
      </c>
    </row>
    <row r="44" spans="1:8">
      <c r="A44" s="29">
        <v>8.3400000000000002E-2</v>
      </c>
      <c r="B44" s="30">
        <v>102.8</v>
      </c>
      <c r="C44" s="30">
        <v>110.15</v>
      </c>
      <c r="D44" s="30">
        <v>119</v>
      </c>
      <c r="E44" s="30">
        <v>129.9</v>
      </c>
      <c r="F44" s="30">
        <v>143.69999999999999</v>
      </c>
    </row>
    <row r="45" spans="1:8">
      <c r="A45" s="29">
        <v>8.8400000000000006E-2</v>
      </c>
      <c r="B45" s="30">
        <v>92.9</v>
      </c>
      <c r="C45" s="30">
        <v>98.7</v>
      </c>
      <c r="D45" s="31">
        <v>114.18</v>
      </c>
      <c r="E45" s="30">
        <v>112.9</v>
      </c>
      <c r="F45" s="30">
        <v>122.9</v>
      </c>
    </row>
    <row r="46" spans="1:8">
      <c r="A46" s="29">
        <v>9.3399999999999997E-2</v>
      </c>
      <c r="B46" s="30">
        <v>84.75</v>
      </c>
      <c r="C46" s="30">
        <v>89.4</v>
      </c>
      <c r="D46" s="30">
        <v>94.9</v>
      </c>
      <c r="E46" s="30">
        <v>101.4</v>
      </c>
      <c r="F46" s="30">
        <v>109.3</v>
      </c>
    </row>
    <row r="47" spans="1:8">
      <c r="A47" s="29">
        <v>9.8400000000000001E-2</v>
      </c>
      <c r="B47" s="30">
        <v>77.900000000000006</v>
      </c>
      <c r="C47" s="30">
        <v>81.7</v>
      </c>
      <c r="D47" s="30">
        <v>86.2</v>
      </c>
      <c r="E47" s="30">
        <v>91.45</v>
      </c>
      <c r="F47" s="30">
        <v>97.7</v>
      </c>
    </row>
    <row r="49" spans="1:1">
      <c r="A49" s="2" t="s">
        <v>62</v>
      </c>
    </row>
  </sheetData>
  <mergeCells count="4">
    <mergeCell ref="A28:H28"/>
    <mergeCell ref="A4:H4"/>
    <mergeCell ref="A41:H41"/>
    <mergeCell ref="A14:H1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DCF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Avellino</cp:lastModifiedBy>
  <cp:lastPrinted>2026-08-27T20:59:41Z</cp:lastPrinted>
  <dcterms:created xsi:type="dcterms:W3CDTF">2026-08-27T20:56:01Z</dcterms:created>
  <dcterms:modified xsi:type="dcterms:W3CDTF">2026-08-27T21:12:26Z</dcterms:modified>
</cp:coreProperties>
</file>